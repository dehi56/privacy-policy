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総括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wrapText="1"/>
    </xf>
    <xf numFmtId="3" fontId="3" fillId="0" borderId="1" pivotButton="0" quotePrefix="0" xfId="0"/>
    <xf numFmtId="2" fontId="3" fillId="0" borderId="1" pivotButton="0" quotePrefix="0" xfId="0"/>
    <xf numFmtId="164" fontId="3" fillId="0" borderId="1" pivotButton="0" quotePrefix="0" xfId="0"/>
    <xf numFmtId="0" fontId="2" fillId="4" borderId="1" pivotButton="0" quotePrefix="0" xfId="0"/>
    <xf numFmtId="0" fontId="0" fillId="4" borderId="1" pivotButton="0" quotePrefix="0" xfId="0"/>
    <xf numFmtId="3" fontId="2" fillId="4" borderId="1" pivotButton="0" quotePrefix="0" xfId="0"/>
    <xf numFmtId="2" fontId="2" fillId="4" borderId="1" pivotButton="0" quotePrefix="0" xfId="0"/>
    <xf numFmtId="164" fontId="2" fillId="4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加工管 集計総括表</t>
        </is>
      </c>
    </row>
    <row r="3">
      <c r="A3" s="2" t="inlineStr">
        <is>
          <t>施工図名</t>
        </is>
      </c>
      <c r="B3" s="3" t="inlineStr">
        <is>
          <t>260811_ボイラー室、冷凍機室加工管製作依頼</t>
        </is>
      </c>
      <c r="C3" s="4" t="n"/>
      <c r="D3" s="4" t="n"/>
      <c r="E3" s="4" t="n"/>
      <c r="F3" s="5" t="n"/>
    </row>
    <row r="4">
      <c r="A4" s="2" t="inlineStr">
        <is>
          <t>管材</t>
        </is>
      </c>
      <c r="B4" s="3" t="inlineStr">
        <is>
          <t>配管用ステンレス鋼管 Sch10S</t>
        </is>
      </c>
      <c r="C4" s="4" t="n"/>
      <c r="D4" s="4" t="n"/>
      <c r="E4" s="4" t="n"/>
      <c r="F4" s="5" t="n"/>
    </row>
    <row r="5">
      <c r="A5" s="2" t="inlineStr">
        <is>
          <t>継手</t>
        </is>
      </c>
      <c r="B5" s="3" t="inlineStr">
        <is>
          <t>SUS溶接継手Sch10S</t>
        </is>
      </c>
      <c r="C5" s="4" t="n"/>
      <c r="D5" s="4" t="n"/>
      <c r="E5" s="4" t="n"/>
      <c r="F5" s="5" t="n"/>
    </row>
    <row r="6">
      <c r="A6" s="2" t="inlineStr">
        <is>
          <t>図面番号</t>
        </is>
      </c>
      <c r="B6" s="3" t="inlineStr">
        <is>
          <t>10-066</t>
        </is>
      </c>
      <c r="C6" s="4" t="n"/>
      <c r="D6" s="4" t="n"/>
      <c r="E6" s="4" t="n"/>
      <c r="F6" s="5" t="n"/>
    </row>
    <row r="7">
      <c r="A7" s="2" t="inlineStr">
        <is>
          <t>日付</t>
        </is>
      </c>
      <c r="B7" s="3" t="inlineStr">
        <is>
          <t>2026年8月12日</t>
        </is>
      </c>
      <c r="C7" s="4" t="n"/>
      <c r="D7" s="4" t="n"/>
      <c r="E7" s="4" t="n"/>
      <c r="F7" s="5" t="n"/>
    </row>
    <row r="9">
      <c r="A9" s="6" t="inlineStr">
        <is>
          <t>系統</t>
        </is>
      </c>
      <c r="B9" s="6" t="inlineStr">
        <is>
          <t>記号</t>
        </is>
      </c>
      <c r="C9" s="6" t="inlineStr">
        <is>
          <t>系統数</t>
        </is>
      </c>
      <c r="D9" s="6" t="inlineStr">
        <is>
          <t>配管全長(mm)</t>
        </is>
      </c>
      <c r="E9" s="6" t="inlineStr">
        <is>
          <t>配管全長(m)</t>
        </is>
      </c>
      <c r="F9" s="6" t="inlineStr">
        <is>
          <t>継手計(個)</t>
        </is>
      </c>
      <c r="G9" s="6" t="inlineStr">
        <is>
          <t>ダイヤインチ</t>
        </is>
      </c>
    </row>
    <row r="10">
      <c r="A10" s="3" t="inlineStr">
        <is>
          <t>1</t>
        </is>
      </c>
      <c r="B10" s="3" t="inlineStr">
        <is>
          <t>①</t>
        </is>
      </c>
      <c r="C10" s="3" t="n">
        <v>9</v>
      </c>
      <c r="D10" s="7">
        <f>'1'!C11</f>
        <v/>
      </c>
      <c r="E10" s="8">
        <f>D10/1000</f>
        <v/>
      </c>
      <c r="F10" s="3">
        <f>'1'!F16</f>
        <v/>
      </c>
      <c r="G10" s="9">
        <f>'1'!G16</f>
        <v/>
      </c>
    </row>
    <row r="11">
      <c r="A11" s="3" t="inlineStr">
        <is>
          <t>2</t>
        </is>
      </c>
      <c r="B11" s="3" t="inlineStr">
        <is>
          <t>②</t>
        </is>
      </c>
      <c r="C11" s="3" t="n">
        <v>9</v>
      </c>
      <c r="D11" s="7">
        <f>'2'!C11</f>
        <v/>
      </c>
      <c r="E11" s="8">
        <f>D11/1000</f>
        <v/>
      </c>
      <c r="F11" s="3">
        <f>'2'!F18</f>
        <v/>
      </c>
      <c r="G11" s="9">
        <f>'2'!G18</f>
        <v/>
      </c>
    </row>
    <row r="12">
      <c r="A12" s="3" t="inlineStr">
        <is>
          <t>3</t>
        </is>
      </c>
      <c r="B12" s="3" t="inlineStr">
        <is>
          <t>③</t>
        </is>
      </c>
      <c r="C12" s="3" t="n">
        <v>5</v>
      </c>
      <c r="D12" s="7">
        <f>'3'!C11</f>
        <v/>
      </c>
      <c r="E12" s="8">
        <f>D12/1000</f>
        <v/>
      </c>
      <c r="F12" s="3">
        <f>'3'!F18</f>
        <v/>
      </c>
      <c r="G12" s="9">
        <f>'3'!G18</f>
        <v/>
      </c>
    </row>
    <row r="13">
      <c r="A13" s="3" t="inlineStr">
        <is>
          <t>4</t>
        </is>
      </c>
      <c r="B13" s="3" t="inlineStr">
        <is>
          <t>④</t>
        </is>
      </c>
      <c r="C13" s="3" t="n">
        <v>11</v>
      </c>
      <c r="D13" s="7">
        <f>'4'!C11</f>
        <v/>
      </c>
      <c r="E13" s="8">
        <f>D13/1000</f>
        <v/>
      </c>
      <c r="F13" s="3">
        <f>'4'!F16</f>
        <v/>
      </c>
      <c r="G13" s="9">
        <f>'4'!G16</f>
        <v/>
      </c>
    </row>
    <row r="14">
      <c r="A14" s="3" t="inlineStr">
        <is>
          <t>5</t>
        </is>
      </c>
      <c r="B14" s="3" t="inlineStr">
        <is>
          <t>⑤</t>
        </is>
      </c>
      <c r="C14" s="3" t="n">
        <v>8</v>
      </c>
      <c r="D14" s="7">
        <f>'5'!C11</f>
        <v/>
      </c>
      <c r="E14" s="8">
        <f>D14/1000</f>
        <v/>
      </c>
      <c r="F14" s="3">
        <f>'5'!F16</f>
        <v/>
      </c>
      <c r="G14" s="9">
        <f>'5'!G16</f>
        <v/>
      </c>
    </row>
    <row r="15">
      <c r="A15" s="3" t="inlineStr">
        <is>
          <t>7</t>
        </is>
      </c>
      <c r="B15" s="3" t="inlineStr">
        <is>
          <t>⑦</t>
        </is>
      </c>
      <c r="C15" s="3" t="n">
        <v>13</v>
      </c>
      <c r="D15" s="7">
        <f>'7'!C11</f>
        <v/>
      </c>
      <c r="E15" s="8">
        <f>D15/1000</f>
        <v/>
      </c>
      <c r="F15" s="3">
        <f>'7'!F16</f>
        <v/>
      </c>
      <c r="G15" s="9">
        <f>'7'!G16</f>
        <v/>
      </c>
    </row>
    <row r="16">
      <c r="A16" s="10" t="inlineStr">
        <is>
          <t>総合計</t>
        </is>
      </c>
      <c r="B16" s="11" t="n"/>
      <c r="C16" s="10">
        <f>SUM(C10:C15)</f>
        <v/>
      </c>
      <c r="D16" s="12">
        <f>SUM(D10:D15)</f>
        <v/>
      </c>
      <c r="E16" s="13">
        <f>D16/1000</f>
        <v/>
      </c>
      <c r="F16" s="10">
        <f>SUM(F10:F15)</f>
        <v/>
      </c>
      <c r="G16" s="14">
        <f>SUM(G10:G15)</f>
        <v/>
      </c>
    </row>
    <row r="18">
      <c r="A18" s="15" t="inlineStr">
        <is>
          <t>※ ダイヤインチ＝継手個数×呼び径(インチ)。25A=1, 40A=1.5, 50A=2, 65A=2.5, 100A=4, 150A=6 で換算。</t>
        </is>
      </c>
    </row>
    <row r="19">
      <c r="A19" s="15" t="inlineStr">
        <is>
          <t>※ 出典：単品加工図 図面番号10-066（全19ページ・全55系統）の各系統表を集計。RF⑥は本図面に無し。</t>
        </is>
      </c>
    </row>
    <row r="20">
      <c r="A20" s="15" t="inlineStr">
        <is>
          <t>※ 配管全長は各系統NO.欄の直管寸法(mm)×数量の合計。継手計・ダイヤインチはF10K/LL/YLL/T/Sの合計。パッキンは参考別掲（継手計に含まず）。</t>
        </is>
      </c>
    </row>
  </sheetData>
  <mergeCells count="6">
    <mergeCell ref="B4:F4"/>
    <mergeCell ref="B7:F7"/>
    <mergeCell ref="B6:F6"/>
    <mergeCell ref="A1:F1"/>
    <mergeCell ref="B3:F3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系統 ① 集計表（①-1 〜 ①-99）</t>
        </is>
      </c>
    </row>
    <row r="3">
      <c r="A3" s="2" t="inlineStr">
        <is>
          <t>施工図名</t>
        </is>
      </c>
      <c r="B3" s="3" t="inlineStr">
        <is>
          <t>260811_ボイラー室、冷凍機室加工管製作依頼</t>
        </is>
      </c>
      <c r="C3" s="4" t="n"/>
      <c r="D3" s="4" t="n"/>
      <c r="E3" s="4" t="n"/>
      <c r="F3" s="5" t="n"/>
    </row>
    <row r="4">
      <c r="A4" s="2" t="inlineStr">
        <is>
          <t>管材</t>
        </is>
      </c>
      <c r="B4" s="3" t="inlineStr">
        <is>
          <t>配管用ステンレス鋼管 Sch10S</t>
        </is>
      </c>
      <c r="C4" s="4" t="n"/>
      <c r="D4" s="4" t="n"/>
      <c r="E4" s="4" t="n"/>
      <c r="F4" s="5" t="n"/>
    </row>
    <row r="5">
      <c r="A5" s="2" t="inlineStr">
        <is>
          <t>継手</t>
        </is>
      </c>
      <c r="B5" s="3" t="inlineStr">
        <is>
          <t>SUS溶接継手Sch10S</t>
        </is>
      </c>
      <c r="C5" s="4" t="n"/>
      <c r="D5" s="4" t="n"/>
      <c r="E5" s="4" t="n"/>
      <c r="F5" s="5" t="n"/>
    </row>
    <row r="6">
      <c r="A6" s="2" t="inlineStr">
        <is>
          <t>対象系統</t>
        </is>
      </c>
      <c r="B6" s="3" t="inlineStr">
        <is>
          <t>①-1、①-2、①-3、①-4、①-5、①-6、①-7、①-8、①-9</t>
        </is>
      </c>
      <c r="C6" s="4" t="n"/>
      <c r="D6" s="4" t="n"/>
      <c r="E6" s="4" t="n"/>
      <c r="F6" s="5" t="n"/>
    </row>
    <row r="8">
      <c r="A8" s="16" t="inlineStr">
        <is>
          <t>■ 管サイズごとの全長</t>
        </is>
      </c>
    </row>
    <row r="9">
      <c r="A9" s="17" t="inlineStr">
        <is>
          <t>管サイズ</t>
        </is>
      </c>
      <c r="B9" s="17" t="inlineStr">
        <is>
          <t>本数</t>
        </is>
      </c>
      <c r="C9" s="17" t="inlineStr">
        <is>
          <t>全長(mm)</t>
        </is>
      </c>
      <c r="D9" s="17" t="inlineStr">
        <is>
          <t>全長(m)</t>
        </is>
      </c>
    </row>
    <row r="10">
      <c r="A10" s="3" t="inlineStr">
        <is>
          <t>65A</t>
        </is>
      </c>
      <c r="B10" s="3" t="n">
        <v>16</v>
      </c>
      <c r="C10" s="7" t="n">
        <v>14965</v>
      </c>
      <c r="D10" s="8">
        <f>C10/1000</f>
        <v/>
      </c>
    </row>
    <row r="11">
      <c r="A11" s="10" t="inlineStr">
        <is>
          <t>合計</t>
        </is>
      </c>
      <c r="B11" s="10">
        <f>SUM(B10:B10)</f>
        <v/>
      </c>
      <c r="C11" s="12">
        <f>SUM(C10:C10)</f>
        <v/>
      </c>
      <c r="D11" s="13">
        <f>C11/1000</f>
        <v/>
      </c>
    </row>
    <row r="13">
      <c r="A13" s="16" t="inlineStr">
        <is>
          <t>■ 継手の個数 / ダイヤインチ</t>
        </is>
      </c>
    </row>
    <row r="14">
      <c r="A14" s="6" t="inlineStr">
        <is>
          <t>管サイズ</t>
        </is>
      </c>
      <c r="B14" s="6" t="inlineStr">
        <is>
          <t>インチ</t>
        </is>
      </c>
      <c r="C14" s="6" t="inlineStr">
        <is>
          <t>フランジ F10K</t>
        </is>
      </c>
      <c r="D14" s="6" t="inlineStr">
        <is>
          <t>エルボ LL</t>
        </is>
      </c>
      <c r="E14" s="6" t="inlineStr">
        <is>
          <t>エルボ YLL</t>
        </is>
      </c>
      <c r="F14" s="6" t="inlineStr">
        <is>
          <t>継手計(個)</t>
        </is>
      </c>
      <c r="G14" s="6" t="inlineStr">
        <is>
          <t>ダイヤインチ</t>
        </is>
      </c>
    </row>
    <row r="15">
      <c r="A15" s="3" t="inlineStr">
        <is>
          <t>65A</t>
        </is>
      </c>
      <c r="B15" s="9" t="n">
        <v>2.5</v>
      </c>
      <c r="C15" s="3" t="n">
        <v>18</v>
      </c>
      <c r="D15" s="3" t="n">
        <v>6</v>
      </c>
      <c r="E15" s="3" t="n">
        <v>1</v>
      </c>
      <c r="F15" s="3">
        <f>SUM(C15:E15)</f>
        <v/>
      </c>
      <c r="G15" s="9">
        <f>F15*B15</f>
        <v/>
      </c>
    </row>
    <row r="16">
      <c r="A16" s="10" t="inlineStr">
        <is>
          <t>合計</t>
        </is>
      </c>
      <c r="B16" s="11" t="n"/>
      <c r="C16" s="10">
        <f>SUM(C15:C15)</f>
        <v/>
      </c>
      <c r="D16" s="10">
        <f>SUM(D15:D15)</f>
        <v/>
      </c>
      <c r="E16" s="10">
        <f>SUM(E15:E15)</f>
        <v/>
      </c>
      <c r="F16" s="10">
        <f>SUM(F15:F15)</f>
        <v/>
      </c>
      <c r="G16" s="14">
        <f>SUM(G15:G15)</f>
        <v/>
      </c>
    </row>
  </sheetData>
  <mergeCells count="5">
    <mergeCell ref="B4:F4"/>
    <mergeCell ref="B6:F6"/>
    <mergeCell ref="A1:F1"/>
    <mergeCell ref="B3:F3"/>
    <mergeCell ref="B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系統 ② 集計表（②-1 〜 ②-99）</t>
        </is>
      </c>
    </row>
    <row r="3">
      <c r="A3" s="2" t="inlineStr">
        <is>
          <t>施工図名</t>
        </is>
      </c>
      <c r="B3" s="3" t="inlineStr">
        <is>
          <t>260811_ボイラー室、冷凍機室加工管製作依頼</t>
        </is>
      </c>
      <c r="C3" s="4" t="n"/>
      <c r="D3" s="4" t="n"/>
      <c r="E3" s="4" t="n"/>
      <c r="F3" s="5" t="n"/>
    </row>
    <row r="4">
      <c r="A4" s="2" t="inlineStr">
        <is>
          <t>管材</t>
        </is>
      </c>
      <c r="B4" s="3" t="inlineStr">
        <is>
          <t>配管用ステンレス鋼管 Sch10S</t>
        </is>
      </c>
      <c r="C4" s="4" t="n"/>
      <c r="D4" s="4" t="n"/>
      <c r="E4" s="4" t="n"/>
      <c r="F4" s="5" t="n"/>
    </row>
    <row r="5">
      <c r="A5" s="2" t="inlineStr">
        <is>
          <t>継手</t>
        </is>
      </c>
      <c r="B5" s="3" t="inlineStr">
        <is>
          <t>SUS溶接継手Sch10S</t>
        </is>
      </c>
      <c r="C5" s="4" t="n"/>
      <c r="D5" s="4" t="n"/>
      <c r="E5" s="4" t="n"/>
      <c r="F5" s="5" t="n"/>
    </row>
    <row r="6">
      <c r="A6" s="2" t="inlineStr">
        <is>
          <t>対象系統</t>
        </is>
      </c>
      <c r="B6" s="3" t="inlineStr">
        <is>
          <t>②-1、②-2、②-3、②-4、②-5、②-6、②-7、②-8、②-9</t>
        </is>
      </c>
      <c r="C6" s="4" t="n"/>
      <c r="D6" s="4" t="n"/>
      <c r="E6" s="4" t="n"/>
      <c r="F6" s="5" t="n"/>
    </row>
    <row r="8">
      <c r="A8" s="16" t="inlineStr">
        <is>
          <t>■ 管サイズごとの全長</t>
        </is>
      </c>
    </row>
    <row r="9">
      <c r="A9" s="17" t="inlineStr">
        <is>
          <t>管サイズ</t>
        </is>
      </c>
      <c r="B9" s="17" t="inlineStr">
        <is>
          <t>本数</t>
        </is>
      </c>
      <c r="C9" s="17" t="inlineStr">
        <is>
          <t>全長(mm)</t>
        </is>
      </c>
      <c r="D9" s="17" t="inlineStr">
        <is>
          <t>全長(m)</t>
        </is>
      </c>
    </row>
    <row r="10">
      <c r="A10" s="3" t="inlineStr">
        <is>
          <t>100A</t>
        </is>
      </c>
      <c r="B10" s="3" t="n">
        <v>13</v>
      </c>
      <c r="C10" s="7" t="n">
        <v>11043</v>
      </c>
      <c r="D10" s="8">
        <f>C10/1000</f>
        <v/>
      </c>
    </row>
    <row r="11">
      <c r="A11" s="10" t="inlineStr">
        <is>
          <t>合計</t>
        </is>
      </c>
      <c r="B11" s="10">
        <f>SUM(B10:B10)</f>
        <v/>
      </c>
      <c r="C11" s="12">
        <f>SUM(C10:C10)</f>
        <v/>
      </c>
      <c r="D11" s="13">
        <f>C11/1000</f>
        <v/>
      </c>
    </row>
    <row r="13">
      <c r="A13" s="16" t="inlineStr">
        <is>
          <t>■ 継手の個数 / ダイヤインチ</t>
        </is>
      </c>
    </row>
    <row r="14">
      <c r="A14" s="6" t="inlineStr">
        <is>
          <t>管サイズ</t>
        </is>
      </c>
      <c r="B14" s="6" t="inlineStr">
        <is>
          <t>インチ</t>
        </is>
      </c>
      <c r="C14" s="6" t="inlineStr">
        <is>
          <t>フランジ F10K</t>
        </is>
      </c>
      <c r="D14" s="6" t="inlineStr">
        <is>
          <t>エルボ LL</t>
        </is>
      </c>
      <c r="E14" s="6" t="inlineStr">
        <is>
          <t>異径ソケット S</t>
        </is>
      </c>
      <c r="F14" s="6" t="inlineStr">
        <is>
          <t>継手計(個)</t>
        </is>
      </c>
      <c r="G14" s="6" t="inlineStr">
        <is>
          <t>ダイヤインチ</t>
        </is>
      </c>
    </row>
    <row r="15">
      <c r="A15" s="3" t="inlineStr">
        <is>
          <t>50A</t>
        </is>
      </c>
      <c r="B15" s="9" t="n">
        <v>2</v>
      </c>
      <c r="C15" s="3" t="n">
        <v>1</v>
      </c>
      <c r="D15" s="3" t="n">
        <v>0</v>
      </c>
      <c r="E15" s="3" t="n">
        <v>0</v>
      </c>
      <c r="F15" s="3">
        <f>SUM(C15:E15)</f>
        <v/>
      </c>
      <c r="G15" s="9">
        <f>F15*B15</f>
        <v/>
      </c>
    </row>
    <row r="16">
      <c r="A16" s="3" t="inlineStr">
        <is>
          <t>100A</t>
        </is>
      </c>
      <c r="B16" s="9" t="n">
        <v>4</v>
      </c>
      <c r="C16" s="3" t="n">
        <v>17</v>
      </c>
      <c r="D16" s="3" t="n">
        <v>4</v>
      </c>
      <c r="E16" s="3" t="n">
        <v>0</v>
      </c>
      <c r="F16" s="3">
        <f>SUM(C16:E16)</f>
        <v/>
      </c>
      <c r="G16" s="9">
        <f>F16*B16</f>
        <v/>
      </c>
    </row>
    <row r="17">
      <c r="A17" s="3" t="inlineStr">
        <is>
          <t>100A×50A</t>
        </is>
      </c>
      <c r="B17" s="9" t="n">
        <v>4</v>
      </c>
      <c r="C17" s="3" t="n">
        <v>0</v>
      </c>
      <c r="D17" s="3" t="n">
        <v>0</v>
      </c>
      <c r="E17" s="3" t="n">
        <v>1</v>
      </c>
      <c r="F17" s="3">
        <f>SUM(C17:E17)</f>
        <v/>
      </c>
      <c r="G17" s="9">
        <f>F17*B17</f>
        <v/>
      </c>
    </row>
    <row r="18">
      <c r="A18" s="10" t="inlineStr">
        <is>
          <t>合計</t>
        </is>
      </c>
      <c r="B18" s="11" t="n"/>
      <c r="C18" s="10">
        <f>SUM(C15:C17)</f>
        <v/>
      </c>
      <c r="D18" s="10">
        <f>SUM(D15:D17)</f>
        <v/>
      </c>
      <c r="E18" s="10">
        <f>SUM(E15:E17)</f>
        <v/>
      </c>
      <c r="F18" s="10">
        <f>SUM(F15:F17)</f>
        <v/>
      </c>
      <c r="G18" s="14">
        <f>SUM(G15:G17)</f>
        <v/>
      </c>
    </row>
  </sheetData>
  <mergeCells count="5">
    <mergeCell ref="B4:F4"/>
    <mergeCell ref="B6:F6"/>
    <mergeCell ref="A1:F1"/>
    <mergeCell ref="B3:F3"/>
    <mergeCell ref="B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系統 ③ 集計表（③-1 〜 ③-99）</t>
        </is>
      </c>
    </row>
    <row r="3">
      <c r="A3" s="2" t="inlineStr">
        <is>
          <t>施工図名</t>
        </is>
      </c>
      <c r="B3" s="3" t="inlineStr">
        <is>
          <t>260811_ボイラー室、冷凍機室加工管製作依頼</t>
        </is>
      </c>
      <c r="C3" s="4" t="n"/>
      <c r="D3" s="4" t="n"/>
      <c r="E3" s="4" t="n"/>
      <c r="F3" s="5" t="n"/>
    </row>
    <row r="4">
      <c r="A4" s="2" t="inlineStr">
        <is>
          <t>管材</t>
        </is>
      </c>
      <c r="B4" s="3" t="inlineStr">
        <is>
          <t>配管用ステンレス鋼管 Sch10S</t>
        </is>
      </c>
      <c r="C4" s="4" t="n"/>
      <c r="D4" s="4" t="n"/>
      <c r="E4" s="4" t="n"/>
      <c r="F4" s="5" t="n"/>
    </row>
    <row r="5">
      <c r="A5" s="2" t="inlineStr">
        <is>
          <t>継手</t>
        </is>
      </c>
      <c r="B5" s="3" t="inlineStr">
        <is>
          <t>SUS溶接継手Sch10S</t>
        </is>
      </c>
      <c r="C5" s="4" t="n"/>
      <c r="D5" s="4" t="n"/>
      <c r="E5" s="4" t="n"/>
      <c r="F5" s="5" t="n"/>
    </row>
    <row r="6">
      <c r="A6" s="2" t="inlineStr">
        <is>
          <t>対象系統</t>
        </is>
      </c>
      <c r="B6" s="3" t="inlineStr">
        <is>
          <t>③-1、③-2、③-3、③-4、③-5</t>
        </is>
      </c>
      <c r="C6" s="4" t="n"/>
      <c r="D6" s="4" t="n"/>
      <c r="E6" s="4" t="n"/>
      <c r="F6" s="5" t="n"/>
    </row>
    <row r="8">
      <c r="A8" s="16" t="inlineStr">
        <is>
          <t>■ 管サイズごとの全長</t>
        </is>
      </c>
    </row>
    <row r="9">
      <c r="A9" s="17" t="inlineStr">
        <is>
          <t>管サイズ</t>
        </is>
      </c>
      <c r="B9" s="17" t="inlineStr">
        <is>
          <t>本数</t>
        </is>
      </c>
      <c r="C9" s="17" t="inlineStr">
        <is>
          <t>全長(mm)</t>
        </is>
      </c>
      <c r="D9" s="17" t="inlineStr">
        <is>
          <t>全長(m)</t>
        </is>
      </c>
    </row>
    <row r="10">
      <c r="A10" s="3" t="inlineStr">
        <is>
          <t>100A</t>
        </is>
      </c>
      <c r="B10" s="3" t="n">
        <v>9</v>
      </c>
      <c r="C10" s="7" t="n">
        <v>6051</v>
      </c>
      <c r="D10" s="8">
        <f>C10/1000</f>
        <v/>
      </c>
    </row>
    <row r="11">
      <c r="A11" s="10" t="inlineStr">
        <is>
          <t>合計</t>
        </is>
      </c>
      <c r="B11" s="10">
        <f>SUM(B10:B10)</f>
        <v/>
      </c>
      <c r="C11" s="12">
        <f>SUM(C10:C10)</f>
        <v/>
      </c>
      <c r="D11" s="13">
        <f>C11/1000</f>
        <v/>
      </c>
    </row>
    <row r="13">
      <c r="A13" s="16" t="inlineStr">
        <is>
          <t>■ 継手の個数 / ダイヤインチ</t>
        </is>
      </c>
    </row>
    <row r="14">
      <c r="A14" s="6" t="inlineStr">
        <is>
          <t>管サイズ</t>
        </is>
      </c>
      <c r="B14" s="6" t="inlineStr">
        <is>
          <t>インチ</t>
        </is>
      </c>
      <c r="C14" s="6" t="inlineStr">
        <is>
          <t>フランジ F10K</t>
        </is>
      </c>
      <c r="D14" s="6" t="inlineStr">
        <is>
          <t>エルボ LL</t>
        </is>
      </c>
      <c r="E14" s="6" t="inlineStr">
        <is>
          <t>異径ソケット S</t>
        </is>
      </c>
      <c r="F14" s="6" t="inlineStr">
        <is>
          <t>継手計(個)</t>
        </is>
      </c>
      <c r="G14" s="6" t="inlineStr">
        <is>
          <t>ダイヤインチ</t>
        </is>
      </c>
    </row>
    <row r="15">
      <c r="A15" s="3" t="inlineStr">
        <is>
          <t>40A</t>
        </is>
      </c>
      <c r="B15" s="9" t="n">
        <v>1.5</v>
      </c>
      <c r="C15" s="3" t="n">
        <v>1</v>
      </c>
      <c r="D15" s="3" t="n">
        <v>0</v>
      </c>
      <c r="E15" s="3" t="n">
        <v>0</v>
      </c>
      <c r="F15" s="3">
        <f>SUM(C15:E15)</f>
        <v/>
      </c>
      <c r="G15" s="9">
        <f>F15*B15</f>
        <v/>
      </c>
    </row>
    <row r="16">
      <c r="A16" s="3" t="inlineStr">
        <is>
          <t>100A</t>
        </is>
      </c>
      <c r="B16" s="9" t="n">
        <v>4</v>
      </c>
      <c r="C16" s="3" t="n">
        <v>9</v>
      </c>
      <c r="D16" s="3" t="n">
        <v>4</v>
      </c>
      <c r="E16" s="3" t="n">
        <v>0</v>
      </c>
      <c r="F16" s="3">
        <f>SUM(C16:E16)</f>
        <v/>
      </c>
      <c r="G16" s="9">
        <f>F16*B16</f>
        <v/>
      </c>
    </row>
    <row r="17">
      <c r="A17" s="3" t="inlineStr">
        <is>
          <t>100A×40A</t>
        </is>
      </c>
      <c r="B17" s="9" t="n">
        <v>4</v>
      </c>
      <c r="C17" s="3" t="n">
        <v>0</v>
      </c>
      <c r="D17" s="3" t="n">
        <v>0</v>
      </c>
      <c r="E17" s="3" t="n">
        <v>1</v>
      </c>
      <c r="F17" s="3">
        <f>SUM(C17:E17)</f>
        <v/>
      </c>
      <c r="G17" s="9">
        <f>F17*B17</f>
        <v/>
      </c>
    </row>
    <row r="18">
      <c r="A18" s="10" t="inlineStr">
        <is>
          <t>合計</t>
        </is>
      </c>
      <c r="B18" s="11" t="n"/>
      <c r="C18" s="10">
        <f>SUM(C15:C17)</f>
        <v/>
      </c>
      <c r="D18" s="10">
        <f>SUM(D15:D17)</f>
        <v/>
      </c>
      <c r="E18" s="10">
        <f>SUM(E15:E17)</f>
        <v/>
      </c>
      <c r="F18" s="10">
        <f>SUM(F15:F17)</f>
        <v/>
      </c>
      <c r="G18" s="14">
        <f>SUM(G15:G17)</f>
        <v/>
      </c>
    </row>
  </sheetData>
  <mergeCells count="5">
    <mergeCell ref="B4:F4"/>
    <mergeCell ref="B6:F6"/>
    <mergeCell ref="A1:F1"/>
    <mergeCell ref="B3:F3"/>
    <mergeCell ref="B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系統 ④ 集計表（④-1 〜 ④-99）</t>
        </is>
      </c>
    </row>
    <row r="3">
      <c r="A3" s="2" t="inlineStr">
        <is>
          <t>施工図名</t>
        </is>
      </c>
      <c r="B3" s="3" t="inlineStr">
        <is>
          <t>260811_ボイラー室、冷凍機室加工管製作依頼</t>
        </is>
      </c>
      <c r="C3" s="4" t="n"/>
      <c r="D3" s="4" t="n"/>
      <c r="E3" s="4" t="n"/>
      <c r="F3" s="5" t="n"/>
    </row>
    <row r="4">
      <c r="A4" s="2" t="inlineStr">
        <is>
          <t>管材</t>
        </is>
      </c>
      <c r="B4" s="3" t="inlineStr">
        <is>
          <t>配管用ステンレス鋼管 Sch10S</t>
        </is>
      </c>
      <c r="C4" s="4" t="n"/>
      <c r="D4" s="4" t="n"/>
      <c r="E4" s="4" t="n"/>
      <c r="F4" s="5" t="n"/>
    </row>
    <row r="5">
      <c r="A5" s="2" t="inlineStr">
        <is>
          <t>継手</t>
        </is>
      </c>
      <c r="B5" s="3" t="inlineStr">
        <is>
          <t>SUS溶接継手Sch10S</t>
        </is>
      </c>
      <c r="C5" s="4" t="n"/>
      <c r="D5" s="4" t="n"/>
      <c r="E5" s="4" t="n"/>
      <c r="F5" s="5" t="n"/>
    </row>
    <row r="6">
      <c r="A6" s="2" t="inlineStr">
        <is>
          <t>対象系統</t>
        </is>
      </c>
      <c r="B6" s="3" t="inlineStr">
        <is>
          <t>④-1、④-2、④-3、④-4、④-5、④-6、④-7、④-8、④-9、④-10、④-11</t>
        </is>
      </c>
      <c r="C6" s="4" t="n"/>
      <c r="D6" s="4" t="n"/>
      <c r="E6" s="4" t="n"/>
      <c r="F6" s="5" t="n"/>
    </row>
    <row r="8">
      <c r="A8" s="16" t="inlineStr">
        <is>
          <t>■ 管サイズごとの全長</t>
        </is>
      </c>
    </row>
    <row r="9">
      <c r="A9" s="17" t="inlineStr">
        <is>
          <t>管サイズ</t>
        </is>
      </c>
      <c r="B9" s="17" t="inlineStr">
        <is>
          <t>本数</t>
        </is>
      </c>
      <c r="C9" s="17" t="inlineStr">
        <is>
          <t>全長(mm)</t>
        </is>
      </c>
      <c r="D9" s="17" t="inlineStr">
        <is>
          <t>全長(m)</t>
        </is>
      </c>
    </row>
    <row r="10">
      <c r="A10" s="3" t="inlineStr">
        <is>
          <t>100A</t>
        </is>
      </c>
      <c r="B10" s="3" t="n">
        <v>19</v>
      </c>
      <c r="C10" s="7" t="n">
        <v>14354</v>
      </c>
      <c r="D10" s="8">
        <f>C10/1000</f>
        <v/>
      </c>
    </row>
    <row r="11">
      <c r="A11" s="10" t="inlineStr">
        <is>
          <t>合計</t>
        </is>
      </c>
      <c r="B11" s="10">
        <f>SUM(B10:B10)</f>
        <v/>
      </c>
      <c r="C11" s="12">
        <f>SUM(C10:C10)</f>
        <v/>
      </c>
      <c r="D11" s="13">
        <f>C11/1000</f>
        <v/>
      </c>
    </row>
    <row r="13">
      <c r="A13" s="16" t="inlineStr">
        <is>
          <t>■ 継手の個数 / ダイヤインチ</t>
        </is>
      </c>
    </row>
    <row r="14">
      <c r="A14" s="6" t="inlineStr">
        <is>
          <t>管サイズ</t>
        </is>
      </c>
      <c r="B14" s="6" t="inlineStr">
        <is>
          <t>インチ</t>
        </is>
      </c>
      <c r="C14" s="6" t="inlineStr">
        <is>
          <t>フランジ F10K</t>
        </is>
      </c>
      <c r="D14" s="6" t="inlineStr">
        <is>
          <t>エルボ LL</t>
        </is>
      </c>
      <c r="E14" s="6" t="inlineStr">
        <is>
          <t>チーズ T</t>
        </is>
      </c>
      <c r="F14" s="6" t="inlineStr">
        <is>
          <t>継手計(個)</t>
        </is>
      </c>
      <c r="G14" s="6" t="inlineStr">
        <is>
          <t>ダイヤインチ</t>
        </is>
      </c>
    </row>
    <row r="15">
      <c r="A15" s="3" t="inlineStr">
        <is>
          <t>100A</t>
        </is>
      </c>
      <c r="B15" s="9" t="n">
        <v>4</v>
      </c>
      <c r="C15" s="3" t="n">
        <v>23</v>
      </c>
      <c r="D15" s="3" t="n">
        <v>7</v>
      </c>
      <c r="E15" s="3" t="n">
        <v>1</v>
      </c>
      <c r="F15" s="3">
        <f>SUM(C15:E15)</f>
        <v/>
      </c>
      <c r="G15" s="9">
        <f>F15*B15</f>
        <v/>
      </c>
    </row>
    <row r="16">
      <c r="A16" s="10" t="inlineStr">
        <is>
          <t>合計</t>
        </is>
      </c>
      <c r="B16" s="11" t="n"/>
      <c r="C16" s="10">
        <f>SUM(C15:C15)</f>
        <v/>
      </c>
      <c r="D16" s="10">
        <f>SUM(D15:D15)</f>
        <v/>
      </c>
      <c r="E16" s="10">
        <f>SUM(E15:E15)</f>
        <v/>
      </c>
      <c r="F16" s="10">
        <f>SUM(F15:F15)</f>
        <v/>
      </c>
      <c r="G16" s="14">
        <f>SUM(G15:G15)</f>
        <v/>
      </c>
    </row>
  </sheetData>
  <mergeCells count="5">
    <mergeCell ref="B4:F4"/>
    <mergeCell ref="B6:F6"/>
    <mergeCell ref="A1:F1"/>
    <mergeCell ref="B3:F3"/>
    <mergeCell ref="B5:F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系統 ⑤ 集計表（⑤-1 〜 ⑤-99）</t>
        </is>
      </c>
    </row>
    <row r="3">
      <c r="A3" s="2" t="inlineStr">
        <is>
          <t>施工図名</t>
        </is>
      </c>
      <c r="B3" s="3" t="inlineStr">
        <is>
          <t>260811_ボイラー室、冷凍機室加工管製作依頼</t>
        </is>
      </c>
      <c r="C3" s="4" t="n"/>
      <c r="D3" s="4" t="n"/>
      <c r="E3" s="4" t="n"/>
      <c r="F3" s="5" t="n"/>
    </row>
    <row r="4">
      <c r="A4" s="2" t="inlineStr">
        <is>
          <t>管材</t>
        </is>
      </c>
      <c r="B4" s="3" t="inlineStr">
        <is>
          <t>配管用ステンレス鋼管 Sch10S</t>
        </is>
      </c>
      <c r="C4" s="4" t="n"/>
      <c r="D4" s="4" t="n"/>
      <c r="E4" s="4" t="n"/>
      <c r="F4" s="5" t="n"/>
    </row>
    <row r="5">
      <c r="A5" s="2" t="inlineStr">
        <is>
          <t>継手</t>
        </is>
      </c>
      <c r="B5" s="3" t="inlineStr">
        <is>
          <t>SUS溶接継手Sch10S</t>
        </is>
      </c>
      <c r="C5" s="4" t="n"/>
      <c r="D5" s="4" t="n"/>
      <c r="E5" s="4" t="n"/>
      <c r="F5" s="5" t="n"/>
    </row>
    <row r="6">
      <c r="A6" s="2" t="inlineStr">
        <is>
          <t>対象系統</t>
        </is>
      </c>
      <c r="B6" s="3" t="inlineStr">
        <is>
          <t>⑤-1、⑤-2、⑤-3、⑤-4、⑤-5、⑤-6、⑤-7、⑤-8</t>
        </is>
      </c>
      <c r="C6" s="4" t="n"/>
      <c r="D6" s="4" t="n"/>
      <c r="E6" s="4" t="n"/>
      <c r="F6" s="5" t="n"/>
    </row>
    <row r="8">
      <c r="A8" s="16" t="inlineStr">
        <is>
          <t>■ 管サイズごとの全長</t>
        </is>
      </c>
    </row>
    <row r="9">
      <c r="A9" s="17" t="inlineStr">
        <is>
          <t>管サイズ</t>
        </is>
      </c>
      <c r="B9" s="17" t="inlineStr">
        <is>
          <t>本数</t>
        </is>
      </c>
      <c r="C9" s="17" t="inlineStr">
        <is>
          <t>全長(mm)</t>
        </is>
      </c>
      <c r="D9" s="17" t="inlineStr">
        <is>
          <t>全長(m)</t>
        </is>
      </c>
    </row>
    <row r="10">
      <c r="A10" s="3" t="inlineStr">
        <is>
          <t>150A</t>
        </is>
      </c>
      <c r="B10" s="3" t="n">
        <v>11</v>
      </c>
      <c r="C10" s="7" t="n">
        <v>10892</v>
      </c>
      <c r="D10" s="8">
        <f>C10/1000</f>
        <v/>
      </c>
    </row>
    <row r="11">
      <c r="A11" s="10" t="inlineStr">
        <is>
          <t>合計</t>
        </is>
      </c>
      <c r="B11" s="10">
        <f>SUM(B10:B10)</f>
        <v/>
      </c>
      <c r="C11" s="12">
        <f>SUM(C10:C10)</f>
        <v/>
      </c>
      <c r="D11" s="13">
        <f>C11/1000</f>
        <v/>
      </c>
    </row>
    <row r="13">
      <c r="A13" s="16" t="inlineStr">
        <is>
          <t>■ 継手の個数 / ダイヤインチ</t>
        </is>
      </c>
    </row>
    <row r="14">
      <c r="A14" s="6" t="inlineStr">
        <is>
          <t>管サイズ</t>
        </is>
      </c>
      <c r="B14" s="6" t="inlineStr">
        <is>
          <t>インチ</t>
        </is>
      </c>
      <c r="C14" s="6" t="inlineStr">
        <is>
          <t>フランジ F10K</t>
        </is>
      </c>
      <c r="D14" s="6" t="inlineStr">
        <is>
          <t>エルボ LL</t>
        </is>
      </c>
      <c r="E14" s="6" t="inlineStr">
        <is>
          <t>エルボ YLL</t>
        </is>
      </c>
      <c r="F14" s="6" t="inlineStr">
        <is>
          <t>継手計(個)</t>
        </is>
      </c>
      <c r="G14" s="6" t="inlineStr">
        <is>
          <t>ダイヤインチ</t>
        </is>
      </c>
    </row>
    <row r="15">
      <c r="A15" s="3" t="inlineStr">
        <is>
          <t>150A</t>
        </is>
      </c>
      <c r="B15" s="9" t="n">
        <v>6</v>
      </c>
      <c r="C15" s="3" t="n">
        <v>16</v>
      </c>
      <c r="D15" s="3" t="n">
        <v>1</v>
      </c>
      <c r="E15" s="3" t="n">
        <v>2</v>
      </c>
      <c r="F15" s="3">
        <f>SUM(C15:E15)</f>
        <v/>
      </c>
      <c r="G15" s="9">
        <f>F15*B15</f>
        <v/>
      </c>
    </row>
    <row r="16">
      <c r="A16" s="10" t="inlineStr">
        <is>
          <t>合計</t>
        </is>
      </c>
      <c r="B16" s="11" t="n"/>
      <c r="C16" s="10">
        <f>SUM(C15:C15)</f>
        <v/>
      </c>
      <c r="D16" s="10">
        <f>SUM(D15:D15)</f>
        <v/>
      </c>
      <c r="E16" s="10">
        <f>SUM(E15:E15)</f>
        <v/>
      </c>
      <c r="F16" s="10">
        <f>SUM(F15:F15)</f>
        <v/>
      </c>
      <c r="G16" s="14">
        <f>SUM(G15:G15)</f>
        <v/>
      </c>
    </row>
  </sheetData>
  <mergeCells count="5">
    <mergeCell ref="B4:F4"/>
    <mergeCell ref="B6:F6"/>
    <mergeCell ref="A1:F1"/>
    <mergeCell ref="B3:F3"/>
    <mergeCell ref="B5:F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系統 ⑦ 集計表（⑦-1 〜 ⑦-99）</t>
        </is>
      </c>
    </row>
    <row r="3">
      <c r="A3" s="2" t="inlineStr">
        <is>
          <t>施工図名</t>
        </is>
      </c>
      <c r="B3" s="3" t="inlineStr">
        <is>
          <t>260811_ボイラー室、冷凍機室加工管製作依頼</t>
        </is>
      </c>
      <c r="C3" s="4" t="n"/>
      <c r="D3" s="4" t="n"/>
      <c r="E3" s="4" t="n"/>
      <c r="F3" s="5" t="n"/>
    </row>
    <row r="4">
      <c r="A4" s="2" t="inlineStr">
        <is>
          <t>管材</t>
        </is>
      </c>
      <c r="B4" s="3" t="inlineStr">
        <is>
          <t>配管用ステンレス鋼管 Sch10S</t>
        </is>
      </c>
      <c r="C4" s="4" t="n"/>
      <c r="D4" s="4" t="n"/>
      <c r="E4" s="4" t="n"/>
      <c r="F4" s="5" t="n"/>
    </row>
    <row r="5">
      <c r="A5" s="2" t="inlineStr">
        <is>
          <t>継手</t>
        </is>
      </c>
      <c r="B5" s="3" t="inlineStr">
        <is>
          <t>SUS溶接継手Sch10S</t>
        </is>
      </c>
      <c r="C5" s="4" t="n"/>
      <c r="D5" s="4" t="n"/>
      <c r="E5" s="4" t="n"/>
      <c r="F5" s="5" t="n"/>
    </row>
    <row r="6">
      <c r="A6" s="2" t="inlineStr">
        <is>
          <t>対象系統</t>
        </is>
      </c>
      <c r="B6" s="3" t="inlineStr">
        <is>
          <t>⑦-1、⑦-2、⑦-3、⑦-4、⑦-5、⑦-6、⑦-7、⑦-8、⑦-9、⑦-10、⑦-11、⑦-12、⑦-13</t>
        </is>
      </c>
      <c r="C6" s="4" t="n"/>
      <c r="D6" s="4" t="n"/>
      <c r="E6" s="4" t="n"/>
      <c r="F6" s="5" t="n"/>
    </row>
    <row r="8">
      <c r="A8" s="16" t="inlineStr">
        <is>
          <t>■ 管サイズごとの全長</t>
        </is>
      </c>
    </row>
    <row r="9">
      <c r="A9" s="17" t="inlineStr">
        <is>
          <t>管サイズ</t>
        </is>
      </c>
      <c r="B9" s="17" t="inlineStr">
        <is>
          <t>本数</t>
        </is>
      </c>
      <c r="C9" s="17" t="inlineStr">
        <is>
          <t>全長(mm)</t>
        </is>
      </c>
      <c r="D9" s="17" t="inlineStr">
        <is>
          <t>全長(m)</t>
        </is>
      </c>
    </row>
    <row r="10">
      <c r="A10" s="3" t="inlineStr">
        <is>
          <t>25A</t>
        </is>
      </c>
      <c r="B10" s="3" t="n">
        <v>29</v>
      </c>
      <c r="C10" s="7" t="n">
        <v>13227</v>
      </c>
      <c r="D10" s="8">
        <f>C10/1000</f>
        <v/>
      </c>
    </row>
    <row r="11">
      <c r="A11" s="10" t="inlineStr">
        <is>
          <t>合計</t>
        </is>
      </c>
      <c r="B11" s="10">
        <f>SUM(B10:B10)</f>
        <v/>
      </c>
      <c r="C11" s="12">
        <f>SUM(C10:C10)</f>
        <v/>
      </c>
      <c r="D11" s="13">
        <f>C11/1000</f>
        <v/>
      </c>
    </row>
    <row r="13">
      <c r="A13" s="16" t="inlineStr">
        <is>
          <t>■ 継手の個数 / ダイヤインチ</t>
        </is>
      </c>
    </row>
    <row r="14">
      <c r="A14" s="6" t="inlineStr">
        <is>
          <t>管サイズ</t>
        </is>
      </c>
      <c r="B14" s="6" t="inlineStr">
        <is>
          <t>インチ</t>
        </is>
      </c>
      <c r="C14" s="6" t="inlineStr">
        <is>
          <t>フランジ F10K</t>
        </is>
      </c>
      <c r="D14" s="6" t="inlineStr">
        <is>
          <t>エルボ LL</t>
        </is>
      </c>
      <c r="E14" s="6" t="inlineStr">
        <is>
          <t>チーズ T</t>
        </is>
      </c>
      <c r="F14" s="6" t="inlineStr">
        <is>
          <t>継手計(個)</t>
        </is>
      </c>
      <c r="G14" s="6" t="inlineStr">
        <is>
          <t>ダイヤインチ</t>
        </is>
      </c>
      <c r="H14" s="6" t="inlineStr">
        <is>
          <t>パッキン(10K)4.5mm ※参考</t>
        </is>
      </c>
    </row>
    <row r="15">
      <c r="A15" s="3" t="inlineStr">
        <is>
          <t>25A</t>
        </is>
      </c>
      <c r="B15" s="9" t="n">
        <v>1</v>
      </c>
      <c r="C15" s="3" t="n">
        <v>29</v>
      </c>
      <c r="D15" s="3" t="n">
        <v>10</v>
      </c>
      <c r="E15" s="3" t="n">
        <v>3</v>
      </c>
      <c r="F15" s="3">
        <f>SUM(C15:E15)</f>
        <v/>
      </c>
      <c r="G15" s="9">
        <f>F15*B15</f>
        <v/>
      </c>
      <c r="H15" s="3" t="n">
        <v>12</v>
      </c>
    </row>
    <row r="16">
      <c r="A16" s="10" t="inlineStr">
        <is>
          <t>合計</t>
        </is>
      </c>
      <c r="B16" s="11" t="n"/>
      <c r="C16" s="10">
        <f>SUM(C15:C15)</f>
        <v/>
      </c>
      <c r="D16" s="10">
        <f>SUM(D15:D15)</f>
        <v/>
      </c>
      <c r="E16" s="10">
        <f>SUM(E15:E15)</f>
        <v/>
      </c>
      <c r="F16" s="10">
        <f>SUM(F15:F15)</f>
        <v/>
      </c>
      <c r="G16" s="14">
        <f>SUM(G15:G15)</f>
        <v/>
      </c>
      <c r="H16" s="10">
        <f>SUM(H15:H15)</f>
        <v/>
      </c>
    </row>
  </sheetData>
  <mergeCells count="5">
    <mergeCell ref="B4:F4"/>
    <mergeCell ref="B6:F6"/>
    <mergeCell ref="A1:F1"/>
    <mergeCell ref="B3:F3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2026-09-05T16:34:41Z</dcterms:created>
  <dcterms:modified xsi:type="dcterms:W3CDTF">2026-09-05T16:34:41Z</dcterms:modified>
</cp:coreProperties>
</file>